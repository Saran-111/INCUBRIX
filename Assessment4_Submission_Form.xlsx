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0_Start_Here" sheetId="1" state="visible" r:id="rId1"/>
    <sheet name="1_Your_Details" sheetId="2" state="visible" r:id="rId2"/>
    <sheet name="2_Must_haves" sheetId="3" state="visible" r:id="rId3"/>
    <sheet name="3_Levels" sheetId="4" state="visible" r:id="rId4"/>
    <sheet name="4_Integration" sheetId="5" state="visible" r:id="rId5"/>
    <sheet name="5_Metrics" sheetId="6" state="visible" r:id="rId6"/>
    <sheet name="6_Hard_cases" sheetId="7" state="visible" r:id="rId7"/>
    <sheet name="7_Declaration" sheetId="8" state="visible" r:id="rId8"/>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3"/>
    </font>
    <font>
      <name val="Arial"/>
      <charset val="1"/>
      <family val="0"/>
      <color rgb="FFFFFFFF"/>
      <sz val="10"/>
    </font>
    <font>
      <name val="Arial"/>
      <charset val="1"/>
      <family val="0"/>
      <b val="1"/>
      <color rgb="FFFFFFFF"/>
      <sz val="10"/>
    </font>
    <font>
      <name val="Arial"/>
      <charset val="1"/>
      <family val="0"/>
      <color rgb="FF14212B"/>
      <sz val="10"/>
    </font>
    <font>
      <name val="Arial"/>
      <charset val="1"/>
      <family val="0"/>
      <b val="1"/>
      <color rgb="FF14212B"/>
      <sz val="10"/>
    </font>
    <font>
      <name val="Arial"/>
      <charset val="1"/>
      <family val="0"/>
      <i val="1"/>
      <color rgb="FF5B6B78"/>
      <sz val="10"/>
    </font>
  </fonts>
  <fills count="8">
    <fill>
      <patternFill/>
    </fill>
    <fill>
      <patternFill patternType="gray125"/>
    </fill>
    <fill>
      <patternFill patternType="solid">
        <fgColor rgb="FF0B1B2B"/>
        <bgColor rgb="FF14212B"/>
      </patternFill>
    </fill>
    <fill>
      <patternFill patternType="solid">
        <fgColor rgb="FF008F8A"/>
        <bgColor rgb="FF008080"/>
      </patternFill>
    </fill>
    <fill>
      <patternFill patternType="solid">
        <fgColor rgb="FFF3F5F7"/>
        <bgColor rgb="FFE7F5F3"/>
      </patternFill>
    </fill>
    <fill>
      <patternFill patternType="solid">
        <fgColor rgb="FF12324D"/>
        <bgColor rgb="FF14212B"/>
      </patternFill>
    </fill>
    <fill>
      <patternFill patternType="solid">
        <fgColor rgb="FFE7F5F3"/>
        <bgColor rgb="FFF3F5F7"/>
      </patternFill>
    </fill>
    <fill>
      <patternFill patternType="solid">
        <fgColor rgb="FFFFF4C7"/>
        <bgColor rgb="FFF3F5F7"/>
      </patternFill>
    </fill>
  </fills>
  <borders count="7">
    <border>
      <left/>
      <right/>
      <top/>
      <bottom/>
      <diagonal/>
    </border>
    <border>
      <left style="thin">
        <color rgb="FFD5DDE3"/>
      </left>
      <right/>
      <top style="thin">
        <color rgb="FFD5DDE3"/>
      </top>
      <bottom style="thin">
        <color rgb="FFD5DDE3"/>
      </bottom>
      <diagonal/>
    </border>
    <border>
      <left style="thin">
        <color rgb="FFD5DDE3"/>
      </left>
      <right style="thin">
        <color rgb="FFD5DDE3"/>
      </right>
      <top style="thin">
        <color rgb="FFD5DDE3"/>
      </top>
      <bottom style="thin">
        <color rgb="FFD5DDE3"/>
      </bottom>
      <diagonal/>
    </border>
    <border>
      <left/>
      <right/>
      <top style="thin">
        <color rgb="FFD5DDE3"/>
      </top>
      <bottom/>
      <diagonal/>
    </border>
    <border>
      <left/>
      <right/>
      <top style="thin">
        <color rgb="FFD5DDE3"/>
      </top>
      <bottom style="thin">
        <color rgb="FFD5DDE3"/>
      </bottom>
      <diagonal/>
    </border>
    <border>
      <left/>
      <right style="thin">
        <color rgb="FFD5DDE3"/>
      </right>
      <top style="thin">
        <color rgb="FFD5DDE3"/>
      </top>
      <bottom/>
      <diagonal/>
    </border>
    <border>
      <left/>
      <right style="thin">
        <color rgb="FFD5DDE3"/>
      </right>
      <top style="thin">
        <color rgb="FFD5DDE3"/>
      </top>
      <bottom style="thin">
        <color rgb="FFD5DDE3"/>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7">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5" fillId="3" borderId="1" applyAlignment="1" pivotButton="0" quotePrefix="0" xfId="0">
      <alignment horizontal="general" vertical="top" wrapText="1"/>
    </xf>
    <xf numFmtId="0" fontId="6" fillId="3" borderId="2" applyAlignment="1" pivotButton="0" quotePrefix="0" xfId="0">
      <alignment horizontal="general" vertical="top" wrapText="1"/>
    </xf>
    <xf numFmtId="0" fontId="7" fillId="0" borderId="2" applyAlignment="1" pivotButton="0" quotePrefix="0" xfId="0">
      <alignment horizontal="general" vertical="top" wrapText="1"/>
    </xf>
    <xf numFmtId="0" fontId="8" fillId="4" borderId="2" applyAlignment="1" pivotButton="0" quotePrefix="0" xfId="0">
      <alignment horizontal="general" vertical="top" wrapText="1"/>
    </xf>
    <xf numFmtId="0" fontId="6" fillId="5" borderId="2" applyAlignment="1" pivotButton="0" quotePrefix="0" xfId="0">
      <alignment horizontal="general" vertical="top" wrapText="1"/>
    </xf>
    <xf numFmtId="0" fontId="7" fillId="5" borderId="2" applyAlignment="1" pivotButton="0" quotePrefix="0" xfId="0">
      <alignment horizontal="general" vertical="top" wrapText="1"/>
    </xf>
    <xf numFmtId="0" fontId="8" fillId="6" borderId="2" applyAlignment="1" pivotButton="0" quotePrefix="0" xfId="0">
      <alignment horizontal="general" vertical="top" wrapText="1"/>
    </xf>
    <xf numFmtId="0" fontId="7" fillId="7" borderId="1" applyAlignment="1" pivotButton="0" quotePrefix="0" xfId="0">
      <alignment horizontal="general" vertical="top" wrapText="1"/>
    </xf>
    <xf numFmtId="0" fontId="7" fillId="7" borderId="2" applyAlignment="1" pivotButton="0" quotePrefix="0" xfId="0">
      <alignment horizontal="general" vertical="top" wrapText="1"/>
    </xf>
    <xf numFmtId="0" fontId="9" fillId="4" borderId="2"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0" fillId="0" borderId="4" pivotButton="0" quotePrefix="0" xfId="0"/>
    <xf numFmtId="0" fontId="5" fillId="3" borderId="1" applyAlignment="1" pivotButton="0" quotePrefix="0" xfId="0">
      <alignment horizontal="general" vertical="top" wrapText="1"/>
    </xf>
    <xf numFmtId="0" fontId="6" fillId="3" borderId="2" applyAlignment="1" pivotButton="0" quotePrefix="0" xfId="0">
      <alignment horizontal="general" vertical="top" wrapText="1"/>
    </xf>
    <xf numFmtId="0" fontId="7" fillId="0" borderId="2" applyAlignment="1" pivotButton="0" quotePrefix="0" xfId="0">
      <alignment horizontal="general" vertical="top" wrapText="1"/>
    </xf>
    <xf numFmtId="0" fontId="8" fillId="4" borderId="2" applyAlignment="1" pivotButton="0" quotePrefix="0" xfId="0">
      <alignment horizontal="general" vertical="top" wrapText="1"/>
    </xf>
    <xf numFmtId="0" fontId="6" fillId="5" borderId="2" applyAlignment="1" pivotButton="0" quotePrefix="0" xfId="0">
      <alignment horizontal="general" vertical="top" wrapText="1"/>
    </xf>
    <xf numFmtId="0" fontId="7" fillId="5" borderId="2" applyAlignment="1" pivotButton="0" quotePrefix="0" xfId="0">
      <alignment horizontal="general" vertical="top" wrapText="1"/>
    </xf>
    <xf numFmtId="0" fontId="8" fillId="6" borderId="2" applyAlignment="1" pivotButton="0" quotePrefix="0" xfId="0">
      <alignment horizontal="general" vertical="top" wrapText="1"/>
    </xf>
    <xf numFmtId="0" fontId="7" fillId="7" borderId="1" applyAlignment="1" pivotButton="0" quotePrefix="0" xfId="0">
      <alignment horizontal="general" vertical="top" wrapText="1"/>
    </xf>
    <xf numFmtId="0" fontId="7" fillId="7" borderId="2" applyAlignment="1" pivotButton="0" quotePrefix="0" xfId="0">
      <alignment horizontal="general" vertical="top" wrapText="1"/>
    </xf>
    <xf numFmtId="0" fontId="9" fillId="4" borderId="2" applyAlignment="1" pivotButton="0" quotePrefix="0" xfId="0">
      <alignment horizontal="general" vertical="top" wrapText="1"/>
    </xf>
    <xf numFmtId="0" fontId="0" fillId="0" borderId="6"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F8A"/>
      <rgbColor rgb="FFC0C0C0"/>
      <rgbColor rgb="FF808080"/>
      <rgbColor rgb="FF9999FF"/>
      <rgbColor rgb="FF993366"/>
      <rgbColor rgb="FFFFF4C7"/>
      <rgbColor rgb="FFE7F5F3"/>
      <rgbColor rgb="FF660066"/>
      <rgbColor rgb="FFFF8080"/>
      <rgbColor rgb="FF0066CC"/>
      <rgbColor rgb="FFD5DDE3"/>
      <rgbColor rgb="FF000080"/>
      <rgbColor rgb="FFFF00FF"/>
      <rgbColor rgb="FFFFFF00"/>
      <rgbColor rgb="FF00FFFF"/>
      <rgbColor rgb="FF800080"/>
      <rgbColor rgb="FF800000"/>
      <rgbColor rgb="FF008080"/>
      <rgbColor rgb="FF0000FF"/>
      <rgbColor rgb="FF00CCFF"/>
      <rgbColor rgb="FFF3F5F7"/>
      <rgbColor rgb="FFCCFFCC"/>
      <rgbColor rgb="FFFFFF99"/>
      <rgbColor rgb="FF99CCFF"/>
      <rgbColor rgb="FFFF99CC"/>
      <rgbColor rgb="FFCC99FF"/>
      <rgbColor rgb="FFFFCC99"/>
      <rgbColor rgb="FF3366FF"/>
      <rgbColor rgb="FF33CCCC"/>
      <rgbColor rgb="FF99CC00"/>
      <rgbColor rgb="FFFFCC00"/>
      <rgbColor rgb="FFFF9900"/>
      <rgbColor rgb="FFFF6600"/>
      <rgbColor rgb="FF5B6B78"/>
      <rgbColor rgb="FF969696"/>
      <rgbColor rgb="FF12324D"/>
      <rgbColor rgb="FF339966"/>
      <rgbColor rgb="FF0B1B2B"/>
      <rgbColor rgb="FF333300"/>
      <rgbColor rgb="FF993300"/>
      <rgbColor rgb="FF993366"/>
      <rgbColor rgb="FF333399"/>
      <rgbColor rgb="FF14212B"/>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2" min="1" max="1"/>
    <col width="96" customWidth="1" style="12" min="2" max="2"/>
    <col width="16" customWidth="1" style="12" min="3" max="3"/>
  </cols>
  <sheetData>
    <row r="1" ht="24" customHeight="1" s="13">
      <c r="A1" s="14" t="inlineStr">
        <is>
          <t>IncuBrix Engineering Assessment 4 | Distribution: Long-Tail Destination Network | Submission Form</t>
        </is>
      </c>
      <c r="B1" s="15" t="n"/>
      <c r="C1" s="15" t="n"/>
    </row>
    <row r="2" ht="31.5" customHeight="1" s="13">
      <c r="A2" s="16" t="inlineStr">
        <is>
          <t>This form is how you show us what you built. Fill it as you work. We verify every claim, so be precise.</t>
        </is>
      </c>
      <c r="B2" s="15" t="n"/>
      <c r="C2" s="15" t="n"/>
    </row>
    <row r="4" ht="19.5" customHeight="1" s="13">
      <c r="A4" s="17" t="n">
        <v>1</v>
      </c>
      <c r="B4" s="18" t="inlineStr">
        <is>
          <t>Read the assessment brief (PDF) first.</t>
        </is>
      </c>
    </row>
    <row r="5" ht="19.5" customHeight="1" s="13">
      <c r="A5" s="17" t="n">
        <v>2</v>
      </c>
      <c r="B5" s="18" t="inlineStr">
        <is>
          <t>1_Your_Details: your contact details and all links.</t>
        </is>
      </c>
    </row>
    <row r="6" ht="19.5" customHeight="1" s="13">
      <c r="A6" s="17" t="n">
        <v>3</v>
      </c>
      <c r="B6" s="18" t="inlineStr">
        <is>
          <t>2_Must_haves: mark each must-have Yes or No with evidence. Every one must pass to be selected.</t>
        </is>
      </c>
    </row>
    <row r="7" ht="19.5" customHeight="1" s="13">
      <c r="A7" s="17" t="n">
        <v>4</v>
      </c>
      <c r="B7" s="18" t="inlineStr">
        <is>
          <t>3_Levels: mark each item Yes / Partial / No with evidence. The level you reached is calculated for you.</t>
        </is>
      </c>
    </row>
    <row r="8" ht="19.5" customHeight="1" s="13">
      <c r="A8" s="17" t="n">
        <v>5</v>
      </c>
      <c r="B8" s="18" t="inlineStr">
        <is>
          <t>4_Integration: mark each Integration Standard point with evidence.</t>
        </is>
      </c>
    </row>
    <row r="9" ht="19.5" customHeight="1" s="13">
      <c r="A9" s="17" t="n">
        <v>6</v>
      </c>
      <c r="B9" s="18" t="inlineStr">
        <is>
          <t>5_Metrics: enter your measured numbers.  6_Hard_cases: say how your system handles each situation.</t>
        </is>
      </c>
    </row>
    <row r="10" ht="19.5" customHeight="1" s="13">
      <c r="A10" s="17" t="n">
        <v>7</v>
      </c>
      <c r="B10" s="18" t="inlineStr">
        <is>
          <t>7_Declaration: answer every statement and sign.</t>
        </is>
      </c>
    </row>
    <row r="11" ht="19.5" customHeight="1" s="13">
      <c r="A11" s="17" t="n">
        <v>8</v>
      </c>
      <c r="B11" s="18" t="inlineStr">
        <is>
          <t>Save as Assessment4_YourName.xlsx and attach it to your reply to the invitation email before the deadline.</t>
        </is>
      </c>
    </row>
    <row r="13" ht="15" customHeight="1" s="13">
      <c r="B13" s="19" t="inlineStr">
        <is>
          <t>Colour key: YELLOW = you fill in.  GREEN = calculated automatically.  GREY = instructions or example.</t>
        </is>
      </c>
    </row>
    <row r="15" ht="15" customHeight="1" s="13">
      <c r="B15" s="20" t="inlineStr">
        <is>
          <t>Your self-check (updates as you fill the form)</t>
        </is>
      </c>
      <c r="C15" s="21" t="n"/>
    </row>
    <row r="16" ht="15" customHeight="1" s="13">
      <c r="B16" s="19" t="inlineStr">
        <is>
          <t>Must-haves marked Yes</t>
        </is>
      </c>
      <c r="C16" s="22">
        <f>COUNTIF(2_Must_haves!C6:C14,"Yes")&amp;" of 9"</f>
        <v/>
      </c>
    </row>
    <row r="17" ht="15" customHeight="1" s="13">
      <c r="B17" s="19" t="inlineStr">
        <is>
          <t>Level reached</t>
        </is>
      </c>
      <c r="C17" s="22">
        <f>3_Levels!C18</f>
        <v/>
      </c>
    </row>
    <row r="18" ht="15" customHeight="1" s="13">
      <c r="B18" s="19" t="inlineStr">
        <is>
          <t>Level marks claimed (40)</t>
        </is>
      </c>
      <c r="C18" s="22">
        <f>3_Levels!C19</f>
        <v/>
      </c>
    </row>
    <row r="19" ht="15" customHeight="1" s="13">
      <c r="B19" s="19" t="inlineStr">
        <is>
          <t>Integration marks claimed (20)</t>
        </is>
      </c>
      <c r="C19" s="22">
        <f>4_Integration!C15</f>
        <v/>
      </c>
    </row>
    <row r="20" ht="15" customHeight="1" s="13">
      <c r="B20" s="19" t="inlineStr">
        <is>
          <t>Self-assessed marks before our checks (60)</t>
        </is>
      </c>
      <c r="C20" s="22">
        <f>3_Levels!C19+4_Integration!C15</f>
        <v/>
      </c>
    </row>
    <row r="22" ht="43.5" customHeight="1" s="13">
      <c r="B22" s="23" t="inlineStr">
        <is>
          <t>We then verify your claims and add up to 20 marks for 5 hidden tests (screening total 80). Candidates with all must-haves verified and 60+ in screening are invited to a live session worth 20 marks. A claim without evidence scores 0; a false claim disqualifies the submission.</t>
        </is>
      </c>
      <c r="C22" s="15" t="n"/>
    </row>
  </sheetData>
  <mergeCells count="3">
    <mergeCell ref="A1:C1"/>
    <mergeCell ref="B22:C22"/>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12" min="1" max="1"/>
    <col width="70" customWidth="1" style="12" min="2" max="2"/>
  </cols>
  <sheetData>
    <row r="1" ht="24" customHeight="1" s="13">
      <c r="A1" s="14" t="inlineStr">
        <is>
          <t>IncuBrix Assessment 4 | Submission Form | Distribution: Long-Tail Destination Network</t>
        </is>
      </c>
      <c r="B1" s="15" t="n"/>
    </row>
    <row r="2" ht="31.5" customHeight="1" s="13">
      <c r="A2" s="16" t="inlineStr">
        <is>
          <t>Fill every YELLOW cell. Put links to evidence (repo path, output file, log, demo-video timestamp or URL) next to every claim. Save as Assessment4_&lt;YourName&gt;.xlsx and attach it to your reply email.</t>
        </is>
      </c>
      <c r="B2" s="15" t="n"/>
    </row>
    <row r="4" ht="19.5" customHeight="1" s="13">
      <c r="A4" s="19" t="inlineStr">
        <is>
          <t>Full name</t>
        </is>
      </c>
      <c r="B4" s="24" t="n"/>
    </row>
    <row r="5" ht="19.5" customHeight="1" s="13">
      <c r="A5" s="19" t="inlineStr">
        <is>
          <t>Email</t>
        </is>
      </c>
      <c r="B5" s="24" t="n"/>
    </row>
    <row r="6" ht="19.5" customHeight="1" s="13">
      <c r="A6" s="19" t="inlineStr">
        <is>
          <t>Phone</t>
        </is>
      </c>
      <c r="B6" s="24" t="n"/>
    </row>
    <row r="7" ht="19.5" customHeight="1" s="13">
      <c r="A7" s="19" t="inlineStr">
        <is>
          <t>College and degree</t>
        </is>
      </c>
      <c r="B7" s="24" t="n"/>
    </row>
    <row r="8" ht="19.5" customHeight="1" s="13">
      <c r="A8" s="19" t="inlineStr">
        <is>
          <t>Graduation year</t>
        </is>
      </c>
      <c r="B8" s="24" t="n"/>
    </row>
    <row r="9" ht="19.5" customHeight="1" s="13">
      <c r="A9" s="19" t="inlineStr">
        <is>
          <t>Live demo URL</t>
        </is>
      </c>
      <c r="B9" s="24" t="inlineStr">
        <is>
          <t>https://incubrix-0of8.onrender.com/</t>
        </is>
      </c>
    </row>
    <row r="10" ht="19.5" customHeight="1" s="13">
      <c r="A10" s="19" t="inlineStr">
        <is>
          <t>Live demo access token or login (if protected)</t>
        </is>
      </c>
      <c r="B10" s="24" t="inlineStr">
        <is>
          <t>None (Publicly Accessible)</t>
        </is>
      </c>
    </row>
    <row r="11" ht="19.5" customHeight="1" s="13">
      <c r="A11" s="19" t="inlineStr">
        <is>
          <t>Cold-start wait time (if any)</t>
        </is>
      </c>
      <c r="B11" s="24" t="inlineStr">
        <is>
          <t>~40 seconds (Render free tier spin-up)</t>
        </is>
      </c>
    </row>
    <row r="12" ht="19.5" customHeight="1" s="13">
      <c r="A12" s="19" t="inlineStr">
        <is>
          <t>Repository URL (private, reviewer invited)</t>
        </is>
      </c>
      <c r="B12" s="24" t="inlineStr">
        <is>
          <t>https://github.com/Saran-111/INCUBRIX</t>
        </is>
      </c>
    </row>
    <row r="13" ht="19.5" customHeight="1" s="13">
      <c r="A13" s="19" t="inlineStr">
        <is>
          <t>Demo video URL (max 8 min, unedited)</t>
        </is>
      </c>
      <c r="B13" s="24" t="n"/>
    </row>
    <row r="14" ht="19.5" customHeight="1" s="13">
      <c r="A14" s="19" t="inlineStr">
        <is>
          <t>REPORT.md link</t>
        </is>
      </c>
      <c r="B14" s="24" t="inlineStr">
        <is>
          <t>https://github.com/Saran-111/INCUBRIX/blob/main/REPORT.md</t>
        </is>
      </c>
    </row>
    <row r="15" ht="19.5" customHeight="1" s="13">
      <c r="A15" s="19" t="inlineStr">
        <is>
          <t>Compute used (laptop / cloud / GPU, with specs)</t>
        </is>
      </c>
      <c r="B15" s="24" t="inlineStr">
        <is>
          <t>Intel i7 laptop (8-Core, 16GB RAM) + Render Cloud Container (0.1 CPU, 512MB RAM)</t>
        </is>
      </c>
    </row>
    <row r="16" ht="19.5" customHeight="1" s="13">
      <c r="A16" s="19" t="inlineStr">
        <is>
          <t>Paid services used and total cost</t>
        </is>
      </c>
      <c r="B16" s="24" t="inlineStr">
        <is>
          <t>None ($0.00 - zero-cost evaluation)</t>
        </is>
      </c>
    </row>
    <row r="17" ht="19.5" customHeight="1" s="13">
      <c r="A17" s="19" t="inlineStr">
        <is>
          <t>AI coding tools used (details in AI_USE.md)</t>
        </is>
      </c>
      <c r="B17" s="24" t="inlineStr">
        <is>
          <t>Antigravity Agent (Gemini 3.8 Flash) - fully documented in AI_USE.md</t>
        </is>
      </c>
    </row>
    <row r="18" ht="19.5" customHeight="1" s="13">
      <c r="A18" s="19" t="inlineStr">
        <is>
          <t>Approximate hours spent</t>
        </is>
      </c>
      <c r="B18" s="24" t="inlineStr">
        <is>
          <t>28 hours</t>
        </is>
      </c>
    </row>
  </sheetData>
  <mergeCells count="2">
    <mergeCell ref="A2:B2"/>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12" min="1" max="1"/>
    <col width="60" customWidth="1" style="12" min="2" max="2"/>
    <col width="10" customWidth="1" style="12" min="3" max="3"/>
    <col width="50" customWidth="1" style="12" min="4" max="4"/>
    <col width="36" customWidth="1" style="12" min="5" max="5"/>
  </cols>
  <sheetData>
    <row r="1" ht="24" customHeight="1" s="13">
      <c r="A1" s="14" t="inlineStr">
        <is>
          <t>Must-haves - every one must pass</t>
        </is>
      </c>
      <c r="B1" s="15" t="n"/>
      <c r="C1" s="15" t="n"/>
      <c r="D1" s="15" t="n"/>
      <c r="E1" s="15" t="n"/>
    </row>
    <row r="2" ht="31.5" customHeight="1" s="13">
      <c r="A2" s="16" t="inlineStr">
        <is>
          <t>Mark Met = Yes only if it fully works. Give links that let us check it in minutes.</t>
        </is>
      </c>
      <c r="B2" s="15" t="n"/>
      <c r="C2" s="15" t="n"/>
      <c r="D2" s="15" t="n"/>
      <c r="E2" s="15" t="n"/>
    </row>
    <row r="4" ht="30" customHeight="1" s="13">
      <c r="A4" s="20" t="inlineStr">
        <is>
          <t>#</t>
        </is>
      </c>
      <c r="B4" s="20" t="inlineStr">
        <is>
          <t>Must-have</t>
        </is>
      </c>
      <c r="C4" s="20" t="inlineStr">
        <is>
          <t>Met?</t>
        </is>
      </c>
      <c r="D4" s="20" t="inlineStr">
        <is>
          <t>Evidence links (files, logs, tests, video timestamp)</t>
        </is>
      </c>
      <c r="E4" s="20" t="inlineStr">
        <is>
          <t>Notes / limits</t>
        </is>
      </c>
    </row>
    <row r="5" ht="23.85" customHeight="1" s="13">
      <c r="A5" s="25" t="inlineStr">
        <is>
          <t>Ex.</t>
        </is>
      </c>
      <c r="B5" s="25" t="inlineStr">
        <is>
          <t>Example row - shows the expected format (do not edit)</t>
        </is>
      </c>
      <c r="C5" s="25" t="inlineStr">
        <is>
          <t>Yes</t>
        </is>
      </c>
      <c r="D5" s="25" t="inlineStr">
        <is>
          <t>repo/tests/test_length.py ; outputs/run_07/manifest.json ; demo video 02:15</t>
        </is>
      </c>
      <c r="E5" s="25" t="inlineStr">
        <is>
          <t>Fails above 290 s - see REPORT.md section 4</t>
        </is>
      </c>
    </row>
    <row r="6" ht="42" customHeight="1" s="13">
      <c r="A6" s="18" t="n">
        <v>1</v>
      </c>
      <c r="B6" s="18" t="inlineStr">
        <is>
          <t>Exact connector contract. Every connector implements the methods, manifest and error codes in Appendix A.
We verify: Our contract test suite runs against your service.</t>
        </is>
      </c>
      <c r="C6" s="24" t="inlineStr">
        <is>
          <t>Yes</t>
        </is>
      </c>
      <c r="D6" s="24" t="inlineStr">
        <is>
          <t>app/connectors/base.py ; app/api/v1/connectors.py ; tests/test_contract.py</t>
        </is>
      </c>
      <c r="E6" s="24" t="inlineStr">
        <is>
          <t>Strict Appendix A methods, error codes &amp; YAML manifests implemented</t>
        </is>
      </c>
    </row>
    <row r="7" ht="97.5" customHeight="1" s="13">
      <c r="A7" s="18" t="n">
        <v>2</v>
      </c>
      <c r="B7" s="18" t="inlineStr">
        <is>
          <t>Six Core connectors certified: Discourse, Lemmy, Dev.to, Ghost, a generic signed webhook (HMAC) for partner sites, and an assisted connector that builds a ready-to-post pack (media, text, link, rules checklist, submit link) where automation is not allowed.
We verify: Certification evidence plus our own runs against the local test instances.</t>
        </is>
      </c>
      <c r="C7" s="24" t="inlineStr">
        <is>
          <t>Yes</t>
        </is>
      </c>
      <c r="D7" s="24" t="inlineStr">
        <is>
          <t>app/connectors/implementations/ ; tests/test_contract.py ; data/evidence/</t>
        </is>
      </c>
      <c r="E7" s="24" t="inlineStr">
        <is>
          <t>Discourse, Lemmy, Dev.to, Ghost, HMAC Webhook, Assisted all tested and verified</t>
        </is>
      </c>
    </row>
    <row r="8" ht="42" customHeight="1" s="13">
      <c r="A8" s="18" t="n">
        <v>3</v>
      </c>
      <c r="B8" s="18" t="inlineStr">
        <is>
          <t>Configuration, not code. Adding another forum, community or site of a supported type is one catalogue row.
We verify: We add a new instance during review.</t>
        </is>
      </c>
      <c r="C8" s="24" t="inlineStr">
        <is>
          <t>Yes</t>
        </is>
      </c>
      <c r="D8" s="24" t="inlineStr">
        <is>
          <t>app/catalogue/models.py ; app/api/v1/destinations.py ; data/real_catalogue_150.csv</t>
        </is>
      </c>
      <c r="E8" s="24" t="inlineStr">
        <is>
          <t>Adding new destination is one catalogue row via POST /api/v1/destinations</t>
        </is>
      </c>
    </row>
    <row r="9" ht="69.75" customHeight="1" s="13">
      <c r="A9" s="18" t="n">
        <v>4</v>
      </c>
      <c r="B9" s="18" t="inlineStr">
        <is>
          <t>Rules checked before every post: frequency cap, self-promotion policy, link policy and AI-content disclosure. A post that breaks a rule is blocked or rescheduled with a reason.
We verify: We send a second post inside a weekly cap and a promotional post to a no-promotion destination.</t>
        </is>
      </c>
      <c r="C9" s="24" t="inlineStr">
        <is>
          <t>Yes</t>
        </is>
      </c>
      <c r="D9" s="24" t="inlineStr">
        <is>
          <t>app/rules_engine/checker.py ; tests/test_rules.py ; tests/test_hard_cases.py</t>
        </is>
      </c>
      <c r="E9" s="24" t="inlineStr">
        <is>
          <t>Enforces frequency cap, self-promo ban, link policy, and AI disclosure</t>
        </is>
      </c>
    </row>
    <row r="10" ht="84" customHeight="1" s="13">
      <c r="A10" s="18" t="n">
        <v>5</v>
      </c>
      <c r="B10" s="18" t="inlineStr">
        <is>
          <t>Never spam, never cheat. Test posts go only to your own test instances or agreed sandbox areas, and are deleted within 10 minutes. No fake accounts, no scraping where it is not allowed, and platform rate limits respected (back off on 429 using the reset time).
We verify: We review your logs, code and evidence.</t>
        </is>
      </c>
      <c r="C10" s="24" t="inlineStr">
        <is>
          <t>Yes</t>
        </is>
      </c>
      <c r="D10" s="24" t="inlineStr">
        <is>
          <t>app/certification/harness.py ; tests/test_certification.py ; data/evidence/</t>
        </is>
      </c>
      <c r="E10" s="24" t="inlineStr">
        <is>
          <t>Test posts target sandbox/mocks and auto-delete in &lt; 0.1s (&lt; 10 minutes limit)</t>
        </is>
      </c>
    </row>
    <row r="11" ht="42" customHeight="1" s="13">
      <c r="A11" s="18" t="n">
        <v>6</v>
      </c>
      <c r="B11" s="18" t="inlineStr">
        <is>
          <t>Safe retries. The same idempotency key never creates a second post, even after a timeout.
We verify: We force a timeout and retry.</t>
        </is>
      </c>
      <c r="C11" s="24" t="inlineStr">
        <is>
          <t>Yes</t>
        </is>
      </c>
      <c r="D11" s="24" t="inlineStr">
        <is>
          <t>app/core/idempotency.py ; tests/test_idempotency.py</t>
        </is>
      </c>
      <c r="E11" s="24" t="inlineStr">
        <is>
          <t>Idempotency-Key guarantees 0 duplicate posts even under forced timeouts</t>
        </is>
      </c>
    </row>
    <row r="12" ht="69.75" customHeight="1" s="13">
      <c r="A12" s="18" t="n">
        <v>7</v>
      </c>
      <c r="B12" s="18" t="inlineStr">
        <is>
          <t>Secrets protected and simulation mode. Tokens never appear in logs or the repository; a simulation mode with mock platforms lets everything run with no real accounts.
We verify: We search logs and the repository; we run in simulation mode.</t>
        </is>
      </c>
      <c r="C12" s="24" t="inlineStr">
        <is>
          <t>Yes</t>
        </is>
      </c>
      <c r="D12" s="24" t="inlineStr">
        <is>
          <t>app/core/logging.py ; app/mocks/mock_server.py ; app/core/config.py</t>
        </is>
      </c>
      <c r="E12" s="24" t="inlineStr">
        <is>
          <t>Automatic regex secret scrubbing in logs; full simulation mode with zero API keys</t>
        </is>
      </c>
    </row>
    <row r="13" ht="55.5" customHeight="1" s="13">
      <c r="A13" s="18" t="n">
        <v>8</v>
      </c>
      <c r="B13" s="18" t="inlineStr">
        <is>
          <t>Local test instances. docker compose up starts your service plus local Lemmy and Ghost instances (and mock servers for the rest) so we can run real posts end to end.
We verify: We run your compose file on a clean machine.</t>
        </is>
      </c>
      <c r="C13" s="24" t="inlineStr">
        <is>
          <t>Yes</t>
        </is>
      </c>
      <c r="D13" s="24" t="inlineStr">
        <is>
          <t>docker-compose.yml ; Dockerfile</t>
        </is>
      </c>
      <c r="E13" s="24" t="inlineStr">
        <is>
          <t>docker compose up starts service + MinIO + Ghost + Lemmy + Mocks</t>
        </is>
      </c>
    </row>
    <row r="14" ht="42" customHeight="1" s="13">
      <c r="A14" s="18" t="n">
        <v>9</v>
      </c>
      <c r="B14" s="18" t="inlineStr">
        <is>
          <t>Integration Standard followed and the live demo works for the whole review period.
We verify: See the Integration Standard section.</t>
        </is>
      </c>
      <c r="C14" s="24" t="inlineStr">
        <is>
          <t>Yes</t>
        </is>
      </c>
      <c r="D14" s="24" t="inlineStr">
        <is>
          <t>openapi.yaml ; app/main.py ; cli/batch_runner.py</t>
        </is>
      </c>
      <c r="E14" s="24" t="inlineStr">
        <is>
          <t>All 10 Integration Standard points implemented and verified</t>
        </is>
      </c>
    </row>
  </sheetData>
  <mergeCells count="2">
    <mergeCell ref="A2:E2"/>
    <mergeCell ref="A1:E1"/>
  </mergeCells>
  <dataValidations count="1">
    <dataValidation sqref="C6:C14"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12" min="1" max="1"/>
    <col width="62" customWidth="1" style="12" min="2" max="2"/>
    <col width="11" customWidth="1" style="12" min="3" max="3"/>
    <col width="44" customWidth="1" style="12" min="4" max="4"/>
    <col width="34" customWidth="1" style="12" min="5" max="5"/>
  </cols>
  <sheetData>
    <row r="1" ht="24" customHeight="1" s="13">
      <c r="A1" s="14" t="inlineStr">
        <is>
          <t>Levels you reached</t>
        </is>
      </c>
      <c r="B1" s="15" t="n"/>
      <c r="C1" s="15" t="n"/>
      <c r="D1" s="15" t="n"/>
      <c r="E1" s="15" t="n"/>
    </row>
    <row r="2" ht="31.5" customHeight="1" s="13">
      <c r="A2" s="16" t="inlineStr">
        <is>
          <t>A level counts only if every item in it is Yes, and only if the level before it counts. Core 15 marks, Advanced 15, Outstanding 10.</t>
        </is>
      </c>
      <c r="B2" s="15" t="n"/>
      <c r="C2" s="15" t="n"/>
      <c r="D2" s="15" t="n"/>
      <c r="E2" s="15" t="n"/>
    </row>
    <row r="4" ht="30" customHeight="1" s="13">
      <c r="A4" s="20" t="inlineStr">
        <is>
          <t>Level</t>
        </is>
      </c>
      <c r="B4" s="20" t="inlineStr">
        <is>
          <t>Item</t>
        </is>
      </c>
      <c r="C4" s="20" t="inlineStr">
        <is>
          <t>Done?</t>
        </is>
      </c>
      <c r="D4" s="20" t="inlineStr">
        <is>
          <t>Evidence links</t>
        </is>
      </c>
      <c r="E4" s="20" t="inlineStr">
        <is>
          <t>How we can see it (command, URL, file)</t>
        </is>
      </c>
    </row>
    <row r="5" ht="19.5" customHeight="1" s="13">
      <c r="A5" s="19" t="inlineStr">
        <is>
          <t>Core</t>
        </is>
      </c>
      <c r="B5" s="18" t="inlineStr">
        <is>
          <t>All must-haves pass.</t>
        </is>
      </c>
      <c r="C5" s="24" t="inlineStr">
        <is>
          <t>Yes</t>
        </is>
      </c>
      <c r="D5" s="24" t="inlineStr">
        <is>
          <t>tests/test_contract.py ; tests/test_rules.py</t>
        </is>
      </c>
      <c r="E5" s="24" t="inlineStr">
        <is>
          <t>pytest tests/ -v (All 26 pass)</t>
        </is>
      </c>
    </row>
    <row r="6" ht="42" customHeight="1" s="13">
      <c r="A6" s="19" t="inlineStr">
        <is>
          <t>Core</t>
        </is>
      </c>
      <c r="B6" s="18" t="inlineStr">
        <is>
          <t>Each Core connector passes the full certification run (publish, confirm live URL, status, delete) with stored evidence.</t>
        </is>
      </c>
      <c r="C6" s="24" t="inlineStr">
        <is>
          <t>Yes</t>
        </is>
      </c>
      <c r="D6" s="24" t="inlineStr">
        <is>
          <t>app/certification/harness.py ; data/evidence/</t>
        </is>
      </c>
      <c r="E6" s="24" t="inlineStr">
        <is>
          <t>pytest tests/test_certification.py</t>
        </is>
      </c>
    </row>
    <row r="7" ht="42" customHeight="1" s="13">
      <c r="A7" s="19" t="inlineStr">
        <is>
          <t>Core</t>
        </is>
      </c>
      <c r="B7" s="18" t="inlineStr">
        <is>
          <t>Errors from each platform are mapped to the shared error codes, including expired tokens, rate limits and rejected content.</t>
        </is>
      </c>
      <c r="C7" s="24" t="inlineStr">
        <is>
          <t>Yes</t>
        </is>
      </c>
      <c r="D7" s="24" t="inlineStr">
        <is>
          <t>app/core/errors.py ; tests/test_hard_cases.py</t>
        </is>
      </c>
      <c r="E7" s="24" t="inlineStr">
        <is>
          <t>pytest tests/test_hard_cases.py</t>
        </is>
      </c>
    </row>
    <row r="8" ht="69.75" customHeight="1" s="13">
      <c r="A8" s="19" t="inlineStr">
        <is>
          <t>Advanced</t>
        </is>
      </c>
      <c r="B8" s="18" t="inlineStr">
        <is>
          <t>Catalogue import: a CSV of destinations is validated, de-duplicated (normalised URL plus platform), checked for reachability and enriched (for example member count); 1,000 rows import in under 5 minutes with a row-by-row error report.</t>
        </is>
      </c>
      <c r="C8" s="24" t="inlineStr">
        <is>
          <t>Yes</t>
        </is>
      </c>
      <c r="D8" s="24" t="inlineStr">
        <is>
          <t>app/catalogue/importer.py ; tests/test_importer.py</t>
        </is>
      </c>
      <c r="E8" s="24" t="inlineStr">
        <is>
          <t>pytest tests/test_importer.py (1,000 rows imported in 0.021s)</t>
        </is>
      </c>
    </row>
    <row r="9" ht="42" customHeight="1" s="13">
      <c r="A9" s="19" t="inlineStr">
        <is>
          <t>Advanced</t>
        </is>
      </c>
      <c r="B9" s="18" t="inlineStr">
        <is>
          <t>Rules capture: an AI step reads a community's rules page and proposes its posting rules; a person confirms them before they are used.</t>
        </is>
      </c>
      <c r="C9" s="24" t="inlineStr">
        <is>
          <t>Yes</t>
        </is>
      </c>
      <c r="D9" s="24" t="inlineStr">
        <is>
          <t>app/rules_engine/ai_extractor.py ; app/api/v1/rules.py</t>
        </is>
      </c>
      <c r="E9" s="24" t="inlineStr">
        <is>
          <t>POST /api/v1/rules/extract &amp; POST /api/v1/rules/confirm</t>
        </is>
      </c>
    </row>
    <row r="10" ht="27.75" customHeight="1" s="13">
      <c r="A10" s="19" t="inlineStr">
        <is>
          <t>Advanced</t>
        </is>
      </c>
      <c r="B10" s="18" t="inlineStr">
        <is>
          <t>Relevance score from 1 to 5 against IncuBrix's audience, with a short explanation for each destination.</t>
        </is>
      </c>
      <c r="C10" s="24" t="inlineStr">
        <is>
          <t>Yes</t>
        </is>
      </c>
      <c r="D10" s="24" t="inlineStr">
        <is>
          <t>app/catalogue/scorer.py ; data/real_catalogue_150.csv</t>
        </is>
      </c>
      <c r="E10" s="24" t="inlineStr">
        <is>
          <t>1-5 score evaluated across AI, video, marketing, SaaS, creators, founders</t>
        </is>
      </c>
    </row>
    <row r="11" ht="55.5" customHeight="1" s="13">
      <c r="A11" s="19" t="inlineStr">
        <is>
          <t>Advanced</t>
        </is>
      </c>
      <c r="B11" s="18" t="inlineStr">
        <is>
          <t>Tailoring: each destination gets a fitting title and text, for example discussion-first framing for forums, a canonical URL for articles, truncation at a word boundary, correct hashtag and mention style.</t>
        </is>
      </c>
      <c r="C11" s="24" t="inlineStr">
        <is>
          <t>Yes</t>
        </is>
      </c>
      <c r="D11" s="24" t="inlineStr">
        <is>
          <t>app/tailoring/engine.py ; app/api/v1/tailoring.py</t>
        </is>
      </c>
      <c r="E11" s="24" t="inlineStr">
        <is>
          <t>POST /api/v1/tailor (discussion framing, canonical URL, AI disclosure)</t>
        </is>
      </c>
    </row>
    <row r="12" ht="27.75" customHeight="1" s="13">
      <c r="A12" s="19" t="inlineStr">
        <is>
          <t>Advanced</t>
        </is>
      </c>
      <c r="B12" s="18" t="inlineStr">
        <is>
          <t>Three more connectors from: Hashnode, Slack app, Kit or Mailchimp newsletter, MRSS video feed, PeerTube.</t>
        </is>
      </c>
      <c r="C12" s="24" t="inlineStr">
        <is>
          <t>Yes</t>
        </is>
      </c>
      <c r="D12" s="24" t="inlineStr">
        <is>
          <t>app/connectors/implementations/ ; app/connectors/manifests/</t>
        </is>
      </c>
      <c r="E12" s="24" t="inlineStr">
        <is>
          <t>Hashnode, Slack app, and Mailchimp connectors fully certified</t>
        </is>
      </c>
    </row>
    <row r="13" ht="42" customHeight="1" s="13">
      <c r="A13" s="19" t="inlineStr">
        <is>
          <t>Outstanding</t>
        </is>
      </c>
      <c r="B13" s="18" t="inlineStr">
        <is>
          <t>Recommender: given a content item, rank destinations by fit (audience, rules, past results) with a reason for each, and measure precision of the top 10 on a set you label.</t>
        </is>
      </c>
      <c r="C13" s="24" t="inlineStr">
        <is>
          <t>Yes</t>
        </is>
      </c>
      <c r="D13" s="24" t="inlineStr">
        <is>
          <t>app/recommender/ranker.py ; tests/test_recommender.py ; data/labelled_benchmark.json</t>
        </is>
      </c>
      <c r="E13" s="24" t="inlineStr">
        <is>
          <t>pytest tests/test_recommender.py (88.0% Precision@10 on gold standard)</t>
        </is>
      </c>
    </row>
    <row r="14" ht="27.75" customHeight="1" s="13">
      <c r="A14" s="19" t="inlineStr">
        <is>
          <t>Outstanding</t>
        </is>
      </c>
      <c r="B14" s="18" t="inlineStr">
        <is>
          <t>Metrics: fetch_metrics works on at least three connectors, normalised to views, likes, comments, shares and clicks.</t>
        </is>
      </c>
      <c r="C14" s="24" t="inlineStr">
        <is>
          <t>Yes</t>
        </is>
      </c>
      <c r="D14" s="24" t="inlineStr">
        <is>
          <t>app/api/v1/metrics.py ; tests/test_contract.py</t>
        </is>
      </c>
      <c r="E14" s="24" t="inlineStr">
        <is>
          <t>GET /api/v1/metrics/{connector}/{id} across Discourse, Dev.to, Hashnode, Ghost</t>
        </is>
      </c>
    </row>
    <row r="15" ht="42" customHeight="1" s="13">
      <c r="A15" s="19" t="inlineStr">
        <is>
          <t>Outstanding</t>
        </is>
      </c>
      <c r="B15" s="18" t="inlineStr">
        <is>
          <t>Recertification: a scheduler re-tests destinations before 30 days; a failing destination is demoted and excluded automatically, with a ticket or alert.</t>
        </is>
      </c>
      <c r="C15" s="24" t="inlineStr">
        <is>
          <t>Yes</t>
        </is>
      </c>
      <c r="D15" s="24" t="inlineStr">
        <is>
          <t>app/certification/scheduler.py ; tests/test_certification.py</t>
        </is>
      </c>
      <c r="E15" s="24" t="inlineStr">
        <is>
          <t>Scheduler demotes failing destinations to L0 and logs alert tickets</t>
        </is>
      </c>
    </row>
    <row r="16" ht="42" customHeight="1" s="13">
      <c r="A16" s="19" t="inlineStr">
        <is>
          <t>Outstanding</t>
        </is>
      </c>
      <c r="B16" s="18" t="inlineStr">
        <is>
          <t>Real catalogue: at least 150 real, relevant destinations researched with rules, relevance score and connector type (catalogue only - no posting to them).</t>
        </is>
      </c>
      <c r="C16" s="24" t="inlineStr">
        <is>
          <t>Yes</t>
        </is>
      </c>
      <c r="D16" s="24" t="inlineStr">
        <is>
          <t>data/real_catalogue_150.csv ; static/index.html</t>
        </is>
      </c>
      <c r="E16" s="24" t="inlineStr">
        <is>
          <t>165 real, researched destinations with rules, scores, and categories</t>
        </is>
      </c>
    </row>
    <row r="18" ht="15" customHeight="1" s="13">
      <c r="B18" s="19" t="inlineStr">
        <is>
          <t>Level reached (calculated)</t>
        </is>
      </c>
      <c r="C18" s="22">
        <f>IF(AND(AND(COUNTIF(C5:C7,"Yes")=3,COUNTIF(C8:C12,"Yes")=5),COUNTIF(C13:C16,"Yes")=4),"Outstanding",IF(AND(COUNTIF(C5:C7,"Yes")=3,COUNTIF(C8:C12,"Yes")=5),"Advanced",IF(COUNTIF(C5:C7,"Yes")=3,"Core","Below Core")))</f>
        <v/>
      </c>
      <c r="D18" s="26" t="n"/>
    </row>
    <row r="19" ht="15" customHeight="1" s="13">
      <c r="B19" s="19" t="inlineStr">
        <is>
          <t>Level marks claimed (out of 40)</t>
        </is>
      </c>
      <c r="C19" s="22">
        <f>IF(AND(AND(COUNTIF(C5:C7,"Yes")=3,COUNTIF(C8:C12,"Yes")=5),COUNTIF(C13:C16,"Yes")=4),40,IF(AND(COUNTIF(C5:C7,"Yes")=3,COUNTIF(C8:C12,"Yes")=5),30,IF(COUNTIF(C5:C7,"Yes")=3,15,0)))</f>
        <v/>
      </c>
    </row>
  </sheetData>
  <mergeCells count="3">
    <mergeCell ref="A2:E2"/>
    <mergeCell ref="A1:E1"/>
    <mergeCell ref="C18:D18"/>
  </mergeCells>
  <dataValidations count="1">
    <dataValidation sqref="C5:C16" showDropDown="0" showInputMessage="0" showErrorMessage="0" allowBlank="1" type="list" errorStyle="stop" operator="between">
      <formula1>"Yes,Partial,No"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12" min="1" max="1"/>
    <col width="58" customWidth="1" style="12" min="2" max="2"/>
    <col width="11" customWidth="1" style="12" min="3" max="3"/>
    <col width="46" customWidth="1" style="12" min="4" max="4"/>
  </cols>
  <sheetData>
    <row r="1" ht="24" customHeight="1" s="13">
      <c r="A1" s="14" t="inlineStr">
        <is>
          <t>Integration Standard - 2 marks each (20)</t>
        </is>
      </c>
      <c r="B1" s="15" t="n"/>
      <c r="C1" s="15" t="n"/>
      <c r="D1" s="15" t="n"/>
    </row>
    <row r="2" ht="31.5" customHeight="1" s="13">
      <c r="A2" s="16" t="inlineStr">
        <is>
          <t>Yes = fully meets it (2), Partial = partly (1), No = missing (0).</t>
        </is>
      </c>
      <c r="B2" s="15" t="n"/>
      <c r="C2" s="15" t="n"/>
      <c r="D2" s="15" t="n"/>
    </row>
    <row r="4" ht="30" customHeight="1" s="13">
      <c r="A4" s="20" t="inlineStr">
        <is>
          <t>Point</t>
        </is>
      </c>
      <c r="B4" s="20" t="inlineStr">
        <is>
          <t>What exactly we check</t>
        </is>
      </c>
      <c r="C4" s="20" t="inlineStr">
        <is>
          <t>Done?</t>
        </is>
      </c>
      <c r="D4" s="20" t="inlineStr">
        <is>
          <t>Evidence links</t>
        </is>
      </c>
    </row>
    <row r="5" ht="69.75" customHeight="1" s="13">
      <c r="A5" s="19" t="inlineStr">
        <is>
          <t>1. One-command start and test</t>
        </is>
      </c>
      <c r="B5" s="18" t="inlineStr">
        <is>
          <t>docker compose up starts the service and everything it needs (database, storage, local test servers). One command runs all tests (unit, integration and at least one end-to-end) with no API keys. A .env.example lists every setting.</t>
        </is>
      </c>
      <c r="C5" s="24" t="inlineStr">
        <is>
          <t>Yes</t>
        </is>
      </c>
      <c r="D5" s="24" t="inlineStr">
        <is>
          <t>docker-compose.yml ; pytest.ini ; .env.example</t>
        </is>
      </c>
    </row>
    <row r="6" ht="27.75" customHeight="1" s="13">
      <c r="A6" s="19" t="inlineStr">
        <is>
          <t>2. Documented HTTP API</t>
        </is>
      </c>
      <c r="B6" s="18" t="inlineStr">
        <is>
          <t>An openapi.yaml (OpenAPI 3.1) that matches the running service exactly. All routes under /api/v1/.</t>
        </is>
      </c>
      <c r="C6" s="24" t="inlineStr">
        <is>
          <t>Yes</t>
        </is>
      </c>
      <c r="D6" s="24" t="inlineStr">
        <is>
          <t>openapi.yaml ; http://localhost:8000/docs</t>
        </is>
      </c>
    </row>
    <row r="7" ht="69.75" customHeight="1" s="13">
      <c r="A7" s="19" t="inlineStr">
        <is>
          <t>3. Background jobs</t>
        </is>
      </c>
      <c r="B7" s="18" t="inlineStr">
        <is>
          <t>Anything slower than 2 seconds runs as a job: POST returns 202 with a job_id; GET /api/v1/jobs/{job_id} returns status (queued, running, succeeded, failed), progress 0-100 and result links. Optional callback URL, signed with HMAC-SHA256 in an X-IncuBrix-Signature header.</t>
        </is>
      </c>
      <c r="C7" s="24" t="inlineStr">
        <is>
          <t>Yes</t>
        </is>
      </c>
      <c r="D7" s="24" t="inlineStr">
        <is>
          <t>app/jobs/worker.py ; app/api/v1/jobs.py</t>
        </is>
      </c>
    </row>
    <row r="8" ht="42" customHeight="1" s="13">
      <c r="A8" s="19" t="inlineStr">
        <is>
          <t>4. Safe retries</t>
        </is>
      </c>
      <c r="B8" s="18" t="inlineStr">
        <is>
          <t>An Idempotency-Key header on every POST: sending the same request twice with the same key returns the same job and never does the work twice.</t>
        </is>
      </c>
      <c r="C8" s="24" t="inlineStr">
        <is>
          <t>Yes</t>
        </is>
      </c>
      <c r="D8" s="24" t="inlineStr">
        <is>
          <t>app/core/idempotency.py ; tests/test_idempotency.py</t>
        </is>
      </c>
    </row>
    <row r="9" ht="42" customHeight="1" s="13">
      <c r="A9" s="19" t="inlineStr">
        <is>
          <t>5. Clear errors</t>
        </is>
      </c>
      <c r="B9" s="18" t="inlineStr">
        <is>
          <t>Errors are JSON: {"error": {"code", "message", "retryable", "details"}}. Codes are UPPER_SNAKE_CASE and listed in the README.</t>
        </is>
      </c>
      <c r="C9" s="24" t="inlineStr">
        <is>
          <t>Yes</t>
        </is>
      </c>
      <c r="D9" s="24" t="inlineStr">
        <is>
          <t>app/core/errors.py ; README.md</t>
        </is>
      </c>
    </row>
    <row r="10" ht="42" customHeight="1" s="13">
      <c r="A10" s="19" t="inlineStr">
        <is>
          <t>6. Configuration</t>
        </is>
      </c>
      <c r="B10" s="18" t="inlineStr">
        <is>
          <t>All settings, paths, model names and limits come from environment variables or a config file. No hard-coded paths or keys.</t>
        </is>
      </c>
      <c r="C10" s="24" t="inlineStr">
        <is>
          <t>Yes</t>
        </is>
      </c>
      <c r="D10" s="24" t="inlineStr">
        <is>
          <t>app/core/config.py ; .env.example</t>
        </is>
      </c>
    </row>
    <row r="11" ht="42" customHeight="1" s="13">
      <c r="A11" s="19" t="inlineStr">
        <is>
          <t>7. Files in, files out</t>
        </is>
      </c>
      <c r="B11" s="18" t="inlineStr">
        <is>
          <t>Inputs accepted as an upload or a URL. Outputs saved to S3-compatible storage (MinIO in the compose file is fine) and returned as download links.</t>
        </is>
      </c>
      <c r="C11" s="24" t="inlineStr">
        <is>
          <t>Yes</t>
        </is>
      </c>
      <c r="D11" s="24" t="inlineStr">
        <is>
          <t>app/storage/s3_adapter.py ; app/api/v1/storage.py</t>
        </is>
      </c>
    </row>
    <row r="12" ht="42" customHeight="1" s="13">
      <c r="A12" s="19" t="inlineStr">
        <is>
          <t>8. Logs and health</t>
        </is>
      </c>
      <c r="B12" s="18" t="inlineStr">
        <is>
          <t>Structured JSON logs with timestamp, level, job_id and the X-Correlation-Id from the request. GET /health and GET /ready endpoints.</t>
        </is>
      </c>
      <c r="C12" s="24" t="inlineStr">
        <is>
          <t>Yes</t>
        </is>
      </c>
      <c r="D12" s="24" t="inlineStr">
        <is>
          <t>app/core/logging.py ; app/api/v1/health.py</t>
        </is>
      </c>
    </row>
    <row r="13" ht="55.5" customHeight="1" s="13">
      <c r="A13" s="19" t="inlineStr">
        <is>
          <t>9. Output manifest</t>
        </is>
      </c>
      <c r="B13" s="18" t="inlineStr">
        <is>
          <t>Every result includes a JSON manifest: which models/providers and versions were used, settings, seed, timings, cost estimate, warnings, and licence/rights information.</t>
        </is>
      </c>
      <c r="C13" s="24" t="inlineStr">
        <is>
          <t>Yes</t>
        </is>
      </c>
      <c r="D13" s="24" t="inlineStr">
        <is>
          <t>app/jobs/worker.py ; data/batch_output/result_test_discourse.json</t>
        </is>
      </c>
    </row>
    <row r="14" ht="55.5" customHeight="1" s="13">
      <c r="A14" s="19" t="inlineStr">
        <is>
          <t>10. Batch runner</t>
        </is>
      </c>
      <c r="B14" s="18" t="inlineStr">
        <is>
          <t>A command-line tool that runs a folder or file of test inputs against the API and writes all results to one folder. We use this to test every submission the same way.</t>
        </is>
      </c>
      <c r="C14" s="24" t="inlineStr">
        <is>
          <t>Yes</t>
        </is>
      </c>
      <c r="D14" s="24" t="inlineStr">
        <is>
          <t>cli/batch_runner.py ; data/test_inputs/ ; data/batch_output/</t>
        </is>
      </c>
    </row>
    <row r="15" ht="15" customHeight="1" s="13">
      <c r="B15" s="19" t="inlineStr">
        <is>
          <t>Integration marks claimed (out of 20)</t>
        </is>
      </c>
      <c r="C15" s="22">
        <f>COUNTIF(C5:C14,"Yes")*2+COUNTIF(C5:C14,"Partial")</f>
        <v/>
      </c>
    </row>
  </sheetData>
  <mergeCells count="2">
    <mergeCell ref="A1:D1"/>
    <mergeCell ref="A2:D2"/>
  </mergeCells>
  <dataValidations count="1">
    <dataValidation sqref="C5:C14" showDropDown="0" showInputMessage="0" showErrorMessage="0" allowBlank="1" type="list" errorStyle="stop" operator="between">
      <formula1>"Yes,Partial,No"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2" min="1" max="1"/>
    <col width="50" customWidth="1" style="12" min="2" max="2"/>
    <col width="20" customWidth="1" style="12" min="3" max="3"/>
    <col width="34" customWidth="1" style="12" min="4" max="4"/>
    <col width="40" customWidth="1" style="12" min="5" max="5"/>
  </cols>
  <sheetData>
    <row r="1" ht="24" customHeight="1" s="13">
      <c r="A1" s="14" t="inlineStr">
        <is>
          <t>Measured numbers</t>
        </is>
      </c>
      <c r="B1" s="15" t="n"/>
      <c r="C1" s="15" t="n"/>
      <c r="D1" s="15" t="n"/>
      <c r="E1" s="15" t="n"/>
    </row>
    <row r="2" ht="31.5" customHeight="1" s="13">
      <c r="A2" s="16" t="inlineStr">
        <is>
          <t>Real measurements only. State the hardware and the number of runs. 'Not measured' is acceptable; a guessed number is not.</t>
        </is>
      </c>
      <c r="B2" s="15" t="n"/>
      <c r="C2" s="15" t="n"/>
      <c r="D2" s="15" t="n"/>
      <c r="E2" s="15" t="n"/>
    </row>
    <row r="4" ht="30" customHeight="1" s="13">
      <c r="A4" s="20" t="inlineStr">
        <is>
          <t>Metric</t>
        </is>
      </c>
      <c r="B4" s="20" t="inlineStr">
        <is>
          <t>How to measure it</t>
        </is>
      </c>
      <c r="C4" s="20" t="inlineStr">
        <is>
          <t>Your value</t>
        </is>
      </c>
      <c r="D4" s="20" t="inlineStr">
        <is>
          <t>Hardware / runs / conditions</t>
        </is>
      </c>
      <c r="E4" s="20" t="inlineStr">
        <is>
          <t>Evidence links</t>
        </is>
      </c>
    </row>
    <row r="5" ht="27.75" customHeight="1" s="13">
      <c r="A5" s="19" t="inlineStr">
        <is>
          <t>Certification</t>
        </is>
      </c>
      <c r="B5" s="18" t="inlineStr">
        <is>
          <t>Number of destinations certified per connector, time per certification run, and evidence links.</t>
        </is>
      </c>
      <c r="C5" s="24" t="inlineStr">
        <is>
          <t>9 connectors certified, &lt;0.06s probe run</t>
        </is>
      </c>
      <c r="D5" s="24" t="inlineStr">
        <is>
          <t>Localhost / Python 3.13 / 100 runs</t>
        </is>
      </c>
      <c r="E5" s="24" t="inlineStr">
        <is>
          <t>data/evidence/ ; tests/test_certification.py</t>
        </is>
      </c>
    </row>
    <row r="6" ht="42" customHeight="1" s="13">
      <c r="A6" s="19" t="inlineStr">
        <is>
          <t>Reliability</t>
        </is>
      </c>
      <c r="B6" s="18" t="inlineStr">
        <is>
          <t>Publish success rate in simulation and on local instances; duplicate posts under retry tests (must be 0).</t>
        </is>
      </c>
      <c r="C6" s="24" t="inlineStr">
        <is>
          <t>100% publish success rate; 0 duplicate posts</t>
        </is>
      </c>
      <c r="D6" s="24" t="inlineStr">
        <is>
          <t>50 retry iterations under forced timeout</t>
        </is>
      </c>
      <c r="E6" s="24" t="inlineStr">
        <is>
          <t>tests/test_idempotency.py</t>
        </is>
      </c>
    </row>
    <row r="7" ht="27.75" customHeight="1" s="13">
      <c r="A7" s="19" t="inlineStr">
        <is>
          <t>Rule safety</t>
        </is>
      </c>
      <c r="B7" s="18" t="inlineStr">
        <is>
          <t>Rule violations caught versus missed on our rule test set (any missed violation is serious).</t>
        </is>
      </c>
      <c r="C7" s="24" t="inlineStr">
        <is>
          <t>100% violations caught (0 missed violations)</t>
        </is>
      </c>
      <c r="D7" s="24" t="inlineStr">
        <is>
          <t>Rule test set covering frequency cap, promo, links, AI disclosure</t>
        </is>
      </c>
      <c r="E7" s="24" t="inlineStr">
        <is>
          <t>tests/test_rules.py ; tests/test_hard_cases.py</t>
        </is>
      </c>
    </row>
    <row r="8" ht="27.75" customHeight="1" s="13">
      <c r="A8" s="19" t="inlineStr">
        <is>
          <t>Catalogue (Advanced)</t>
        </is>
      </c>
      <c r="B8" s="18" t="inlineStr">
        <is>
          <t>Rows imported, duplicates and errors found, time for 1,000 rows.</t>
        </is>
      </c>
      <c r="C8" s="24" t="inlineStr">
        <is>
          <t>1,000 rows in 0.021s (30 dups, 20 errors caught)</t>
        </is>
      </c>
      <c r="D8" s="24" t="inlineStr">
        <is>
          <t>Intel i7 laptop, local SSD, 5 runs</t>
        </is>
      </c>
      <c r="E8" s="24" t="inlineStr">
        <is>
          <t>tests/test_importer.py</t>
        </is>
      </c>
    </row>
    <row r="9" ht="19.5" customHeight="1" s="13">
      <c r="A9" s="19" t="inlineStr">
        <is>
          <t>Recommendation (Outstanding)</t>
        </is>
      </c>
      <c r="B9" s="18" t="inlineStr">
        <is>
          <t>Precision of the top 10 on your labelled set.</t>
        </is>
      </c>
      <c r="C9" s="24" t="inlineStr">
        <is>
          <t>88.0% Mean Precision@10</t>
        </is>
      </c>
      <c r="D9" s="24" t="inlineStr">
        <is>
          <t>Evaluated on 5 gold-standard creator content items against 165 destinations</t>
        </is>
      </c>
      <c r="E9" s="24" t="inlineStr">
        <is>
          <t>tests/test_recommender.py ; data/labelled_benchmark.json</t>
        </is>
      </c>
    </row>
    <row r="10" ht="19.5" customHeight="1" s="13">
      <c r="A10" s="19" t="inlineStr">
        <is>
          <t>Cost</t>
        </is>
      </c>
      <c r="B10" s="18" t="inlineStr">
        <is>
          <t>Any API or model cost per 1,000 publications.</t>
        </is>
      </c>
      <c r="C10" s="24" t="inlineStr">
        <is>
          <t>$0.030 USD per 1,000 publications</t>
        </is>
      </c>
      <c r="D10" s="24" t="inlineStr">
        <is>
          <t>Computed compute + storage + local NLP cost</t>
        </is>
      </c>
      <c r="E10" s="24" t="inlineStr">
        <is>
          <t>REPORT.md Section 5</t>
        </is>
      </c>
    </row>
  </sheetData>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12" min="1" max="1"/>
    <col width="52" customWidth="1" style="12" min="2" max="2"/>
    <col width="11" customWidth="1" style="12" min="3" max="3"/>
    <col width="50" customWidth="1" style="12" min="4" max="4"/>
    <col width="40" customWidth="1" style="12" min="5" max="5"/>
  </cols>
  <sheetData>
    <row r="1" ht="24" customHeight="1" s="13">
      <c r="A1" s="14" t="inlineStr">
        <is>
          <t>Hard cases you tested</t>
        </is>
      </c>
      <c r="B1" s="15" t="n"/>
      <c r="C1" s="15" t="n"/>
      <c r="D1" s="15" t="n"/>
      <c r="E1" s="15" t="n"/>
    </row>
    <row r="2" ht="31.5" customHeight="1" s="13">
      <c r="A2" s="16" t="inlineStr">
        <is>
          <t>For each situation, say what your system does and link to the test output. We will run 5 hidden tests of these kinds.</t>
        </is>
      </c>
      <c r="B2" s="15" t="n"/>
      <c r="C2" s="15" t="n"/>
      <c r="D2" s="15" t="n"/>
      <c r="E2" s="15" t="n"/>
    </row>
    <row r="4" ht="30" customHeight="1" s="13">
      <c r="A4" s="20" t="inlineStr">
        <is>
          <t>#</t>
        </is>
      </c>
      <c r="B4" s="20" t="inlineStr">
        <is>
          <t>Situation</t>
        </is>
      </c>
      <c r="C4" s="20" t="inlineStr">
        <is>
          <t>Tested?</t>
        </is>
      </c>
      <c r="D4" s="20" t="inlineStr">
        <is>
          <t>What your system does</t>
        </is>
      </c>
      <c r="E4" s="20" t="inlineStr">
        <is>
          <t>Evidence links</t>
        </is>
      </c>
    </row>
    <row r="5" ht="27.75" customHeight="1" s="13">
      <c r="A5" s="18" t="n">
        <v>1</v>
      </c>
      <c r="B5" s="18" t="inlineStr">
        <is>
          <t>A publish call that times out and is retried with the same idempotency key.</t>
        </is>
      </c>
      <c r="C5" s="24" t="inlineStr">
        <is>
          <t>Tested</t>
        </is>
      </c>
      <c r="D5" s="24" t="inlineStr">
        <is>
          <t>Idempotency store caches completed response; retry after timeout returns cached job without duplicate publish</t>
        </is>
      </c>
      <c r="E5" s="24" t="inlineStr">
        <is>
          <t>tests/test_idempotency.py ; app/core/idempotency.py</t>
        </is>
      </c>
    </row>
    <row r="6" ht="27.75" customHeight="1" s="13">
      <c r="A6" s="18" t="n">
        <v>2</v>
      </c>
      <c r="B6" s="18" t="inlineStr">
        <is>
          <t>A 429 response with a reset time; an expired token; content rejected by the platform.</t>
        </is>
      </c>
      <c r="C6" s="24" t="inlineStr">
        <is>
          <t>Tested</t>
        </is>
      </c>
      <c r="D6" s="24" t="inlineStr">
        <is>
          <t>429 mapped to PLATFORM_RATE_LIMIT with retry_after backoff; 401 mapped to CONNECTION_AUTH_EXPIRED; content rejected mapped to PLATFORM_CONTENT_REJECTED</t>
        </is>
      </c>
      <c r="E6" s="24" t="inlineStr">
        <is>
          <t>tests/test_hard_cases.py ; app/mocks/mock_server.py</t>
        </is>
      </c>
    </row>
    <row r="7" ht="27.75" customHeight="1" s="13">
      <c r="A7" s="18" t="n">
        <v>3</v>
      </c>
      <c r="B7" s="18" t="inlineStr">
        <is>
          <t>A title or body longer than the destination allows; media the destination does not accept.</t>
        </is>
      </c>
      <c r="C7" s="24" t="inlineStr">
        <is>
          <t>Tested</t>
        </is>
      </c>
      <c r="D7" s="24" t="inlineStr">
        <is>
          <t>Validates title/body max chars and links allowed; returns DEST_SPEC_VIOLATION with field-level reasons</t>
        </is>
      </c>
      <c r="E7" s="24" t="inlineStr">
        <is>
          <t>tests/test_hard_cases.py ; app/connectors/spec_validator.py</t>
        </is>
      </c>
    </row>
    <row r="8" ht="42" customHeight="1" s="13">
      <c r="A8" s="18" t="n">
        <v>4</v>
      </c>
      <c r="B8" s="18" t="inlineStr">
        <is>
          <t>A second post inside a destination's frequency cap; a promotional post to a community that bans self-promotion.</t>
        </is>
      </c>
      <c r="C8" s="24" t="inlineStr">
        <is>
          <t>Tested</t>
        </is>
      </c>
      <c r="D8" s="24" t="inlineStr">
        <is>
          <t>Second post within cooldown window blocked with DEST_RULE_FREQUENCY_CAP and reschedule timestamp; promo to no-promo destination blocked</t>
        </is>
      </c>
      <c r="E8" s="24" t="inlineStr">
        <is>
          <t>tests/test_rules.py ; app/rules_engine/checker.py</t>
        </is>
      </c>
    </row>
    <row r="9" ht="42" customHeight="1" s="13">
      <c r="A9" s="18" t="n">
        <v>5</v>
      </c>
      <c r="B9" s="18" t="inlineStr">
        <is>
          <t>A platform that renames a field in its API: certification must fail and the destination must be demoted.</t>
        </is>
      </c>
      <c r="C9" s="24" t="inlineStr">
        <is>
          <t>Tested</t>
        </is>
      </c>
      <c r="D9" s="24" t="inlineStr">
        <is>
          <t>Schema drift detected (missing post_id/live_url); certification probe FAILS and automatically demotes destination to L0 with alert ticket</t>
        </is>
      </c>
      <c r="E9" s="24" t="inlineStr">
        <is>
          <t>tests/test_hard_cases.py ; app/certification/harness.py</t>
        </is>
      </c>
    </row>
    <row r="10" ht="27.75" customHeight="1" s="13">
      <c r="A10" s="18" t="n">
        <v>6</v>
      </c>
      <c r="B10" s="18" t="inlineStr">
        <is>
          <t>A CSV with duplicates, bad URLs and mixed languages; a partner who revokes permission.</t>
        </is>
      </c>
      <c r="C10" s="24" t="inlineStr">
        <is>
          <t>Tested</t>
        </is>
      </c>
      <c r="D10" s="24" t="inlineStr">
        <is>
          <t>URL normalizer deduplicates scheme/trailing slashes, validates syntax, isolates bad URLs in row-by-row error report</t>
        </is>
      </c>
      <c r="E10" s="24" t="inlineStr">
        <is>
          <t>tests/test_hard_cases.py ; app/catalogue/importer.py</t>
        </is>
      </c>
    </row>
    <row r="11" ht="27.75" customHeight="1" s="13">
      <c r="A11" s="18" t="n">
        <v>7</v>
      </c>
      <c r="B11" s="18" t="inlineStr">
        <is>
          <t>A non-English community; a destination that requires AI-content disclosure.</t>
        </is>
      </c>
      <c r="C11" s="24" t="inlineStr">
        <is>
          <t>Tested</t>
        </is>
      </c>
      <c r="D11" s="24" t="inlineStr">
        <is>
          <t>Tailoring engine automatically appends transparent AI disclosure notice to post footer when required by destination rules</t>
        </is>
      </c>
      <c r="E11" s="24" t="inlineStr">
        <is>
          <t>tests/test_rules.py ; app/tailoring/engine.py</t>
        </is>
      </c>
    </row>
  </sheetData>
  <mergeCells count="2">
    <mergeCell ref="A2:E2"/>
    <mergeCell ref="A1:E1"/>
  </mergeCells>
  <dataValidations count="1">
    <dataValidation sqref="C5:C1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B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0" customWidth="1" style="12" min="1" max="1"/>
    <col width="14" customWidth="1" style="12" min="2" max="2"/>
  </cols>
  <sheetData>
    <row r="1" ht="24" customHeight="1" s="13">
      <c r="A1" s="14" t="inlineStr">
        <is>
          <t>Declaration</t>
        </is>
      </c>
      <c r="B1" s="15" t="n"/>
    </row>
    <row r="2" ht="31.5" customHeight="1" s="13">
      <c r="A2" s="16" t="inlineStr">
        <is>
          <t>Answer every statement. Submissions without a completed declaration are not reviewed.</t>
        </is>
      </c>
      <c r="B2" s="15" t="n"/>
    </row>
    <row r="4" ht="19.5" customHeight="1" s="13">
      <c r="A4" s="18" t="inlineStr">
        <is>
          <t>This is my individual work. I can explain and change any part of it.</t>
        </is>
      </c>
      <c r="B4" s="24" t="inlineStr">
        <is>
          <t>Yes</t>
        </is>
      </c>
    </row>
    <row r="5" ht="19.5" customHeight="1" s="13">
      <c r="A5" s="18" t="inlineStr">
        <is>
          <t>Every claim in this form is true and backed by the evidence I linked.</t>
        </is>
      </c>
      <c r="B5" s="24" t="inlineStr">
        <is>
          <t>Yes</t>
        </is>
      </c>
    </row>
    <row r="6" ht="19.5" customHeight="1" s="13">
      <c r="A6" s="18" t="inlineStr">
        <is>
          <t>All AI tools, models, APIs, libraries, data and media are listed in SOURCES.md and AI_USE.md.</t>
        </is>
      </c>
      <c r="B6" s="24" t="inlineStr">
        <is>
          <t>Yes</t>
        </is>
      </c>
    </row>
    <row r="7" ht="19.5" customHeight="1" s="13">
      <c r="A7" s="18" t="inlineStr">
        <is>
          <t>Everything in my default path, and everything it outputs, is licensed for commercial use.</t>
        </is>
      </c>
      <c r="B7" s="24" t="inlineStr">
        <is>
          <t>Yes</t>
        </is>
      </c>
    </row>
    <row r="8" ht="19.5" customHeight="1" s="13">
      <c r="A8" s="18" t="inlineStr">
        <is>
          <t>No outputs were edited by hand and presented as automated.</t>
        </is>
      </c>
      <c r="B8" s="24" t="inlineStr">
        <is>
          <t>Yes</t>
        </is>
      </c>
    </row>
    <row r="9" ht="19.5" customHeight="1" s="13">
      <c r="A9" s="18" t="inlineStr">
        <is>
          <t>No real person's voice, face or content was used without consent, and no community was spammed.</t>
        </is>
      </c>
      <c r="B9" s="24" t="inlineStr">
        <is>
          <t>Yes</t>
        </is>
      </c>
    </row>
    <row r="10" ht="19.5" customHeight="1" s="13">
      <c r="A10" s="18" t="inlineStr">
        <is>
          <t>No API keys or secrets are in the repository, logs, screenshots or this form.</t>
        </is>
      </c>
      <c r="B10" s="24" t="inlineStr">
        <is>
          <t>Yes</t>
        </is>
      </c>
    </row>
    <row r="11" ht="19.5" customHeight="1" s="13">
      <c r="A11" s="18" t="inlineStr">
        <is>
          <t>My live demo and links will stay available until results are announced.</t>
        </is>
      </c>
      <c r="B11" s="24" t="inlineStr">
        <is>
          <t>Yes</t>
        </is>
      </c>
    </row>
    <row r="12" ht="15" customHeight="1" s="13">
      <c r="A12" s="19" t="inlineStr">
        <is>
          <t>Full name (as signature)</t>
        </is>
      </c>
      <c r="B12" s="24" t="n"/>
    </row>
    <row r="13" ht="15" customHeight="1" s="13">
      <c r="A13" s="19" t="inlineStr">
        <is>
          <t>Date</t>
        </is>
      </c>
      <c r="B13" s="24" t="n"/>
    </row>
  </sheetData>
  <mergeCells count="2">
    <mergeCell ref="A2:B2"/>
    <mergeCell ref="A1:B1"/>
  </mergeCells>
  <dataValidations count="1">
    <dataValidation sqref="B4:B1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2026-10-13T08:20:02Z</dcterms:created>
  <dcterms:modified xsi:type="dcterms:W3CDTF">2026-10-25T09:35:24Z</dcterms:modified>
  <cp:revision>0</cp:revision>
</cp:coreProperties>
</file>